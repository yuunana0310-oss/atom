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una\agens\リハ算定2026\"/>
    </mc:Choice>
  </mc:AlternateContent>
  <xr:revisionPtr revIDLastSave="0" documentId="8_{DBF2A246-26DC-4FDA-A9D2-BE3D37F8EE43}" xr6:coauthVersionLast="47" xr6:coauthVersionMax="47" xr10:uidLastSave="{00000000-0000-0000-0000-000000000000}"/>
  <bookViews>
    <workbookView xWindow="-120" yWindow="-120" windowWidth="29040" windowHeight="15720" xr2:uid="{6B3C23F0-371E-4019-B62D-225F7D880CE2}"/>
  </bookViews>
  <sheets>
    <sheet name="入力" sheetId="3" r:id="rId1"/>
    <sheet name="台帳" sheetId="2" r:id="rId2"/>
    <sheet name="マスタ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9" i="3" l="1"/>
  <c r="F8" i="3"/>
  <c r="F7" i="3"/>
  <c r="F6" i="3"/>
  <c r="F5" i="3"/>
</calcChain>
</file>

<file path=xl/sharedStrings.xml><?xml version="1.0" encoding="utf-8"?>
<sst xmlns="http://schemas.openxmlformats.org/spreadsheetml/2006/main" count="36" uniqueCount="30">
  <si>
    <t>リハ種別</t>
  </si>
  <si>
    <t>標準算定日数</t>
  </si>
  <si>
    <t>運動器Ⅰ</t>
  </si>
  <si>
    <t>脳血管Ⅱ</t>
  </si>
  <si>
    <t>呼吸器１</t>
  </si>
  <si>
    <t>主治医リスト（←ここを自院の医師名に編集してください）</t>
  </si>
  <si>
    <t>（例）山田 太郎</t>
  </si>
  <si>
    <t>（例）佐藤 花子</t>
  </si>
  <si>
    <t>（例）鈴木 一郎</t>
  </si>
  <si>
    <t>リハビリ患者管理表（令和8年度算定対応）</t>
  </si>
  <si>
    <t>①患者情報を入力 →  ②「台帳に登録」ボタンをクリック</t>
  </si>
  <si>
    <t>氏名</t>
  </si>
  <si>
    <t>入院日</t>
  </si>
  <si>
    <t>発症日</t>
  </si>
  <si>
    <t>主治医</t>
  </si>
  <si>
    <t>早期リハ60点 最終日（入院3日目）</t>
  </si>
  <si>
    <t>早期リハ加算 最終日（入院14日目）</t>
  </si>
  <si>
    <t>急性期リハ加算 最終日（発症14日目）</t>
  </si>
  <si>
    <t>休日リハ加算 最終日（発症30日目）</t>
  </si>
  <si>
    <t>標準算定日数 最終日（種別別）</t>
  </si>
  <si>
    <t>※「○日目」は起算日を1日目として数えます（＋日数−1）。手計算のズレ防止のため自動化。</t>
  </si>
  <si>
    <t>※ 早期リハの起算日＝入院日／急性期・休日リハの起算日＝発症日。</t>
  </si>
  <si>
    <t>※ 主治医の選択肢は「マスタ」シートのD列で編集できます。</t>
  </si>
  <si>
    <t>No</t>
  </si>
  <si>
    <t>早期リハ60点 最終日(入院3日目)</t>
  </si>
  <si>
    <t>早期リハ加算 最終日(入院14日目)</t>
  </si>
  <si>
    <t>急性期リハ加算 最終日(発症14日目)</t>
  </si>
  <si>
    <t>休日リハ加算 最終日(発症30日目)</t>
  </si>
  <si>
    <t>標準算定日数 最終日</t>
  </si>
  <si>
    <t>登録日時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</si>
</sst>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m/dd"/>
  </numFmts>
  <fonts count="8" x14ac:knownFonts="1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indexed="23"/>
      <name val="游ゴシック"/>
      <family val="2"/>
      <charset val="128"/>
      <scheme val="minor"/>
    </font>
    <font>
      <sz val="11"/>
      <color indexed="12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23"/>
      <name val="游ゴシック"/>
      <family val="2"/>
      <charset val="128"/>
      <scheme val="minor"/>
    </font>
    <font>
      <b/>
      <sz val="13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179" fontId="0" fillId="2" borderId="1" xfId="0" applyNumberFormat="1" applyFill="1" applyBorder="1">
      <alignment vertical="center"/>
    </xf>
    <xf numFmtId="0" fontId="4" fillId="0" borderId="0" xfId="0" applyFont="1">
      <alignment vertical="center"/>
    </xf>
    <xf numFmtId="179" fontId="1" fillId="0" borderId="0" xfId="0" applyNumberFormat="1" applyFont="1">
      <alignment vertical="center"/>
    </xf>
    <xf numFmtId="0" fontId="6" fillId="0" borderId="0" xfId="0" applyFont="1">
      <alignment vertical="center"/>
    </xf>
    <xf numFmtId="0" fontId="1" fillId="3" borderId="1" xfId="0" applyFont="1" applyFill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47625</xdr:rowOff>
        </xdr:from>
        <xdr:to>
          <xdr:col>4</xdr:col>
          <xdr:colOff>714375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1A3CF97-EBD0-2806-85AA-E3C8719DA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▶ 台帳に登録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A6EB-5DB0-4650-A1B2-BDF7328CACA9}">
  <sheetPr codeName="Sheet1"/>
  <dimension ref="B1:F13"/>
  <sheetViews>
    <sheetView tabSelected="1" workbookViewId="0">
      <pane ySplit="1" topLeftCell="A2" activePane="bottomLeft" state="frozenSplit"/>
      <selection pane="bottomLeft" activeCell="C4" sqref="C4"/>
    </sheetView>
  </sheetViews>
  <sheetFormatPr defaultRowHeight="18.75" x14ac:dyDescent="0.4"/>
  <cols>
    <col min="2" max="2" width="4.625" customWidth="1"/>
    <col min="3" max="3" width="16.625" customWidth="1"/>
    <col min="4" max="4" width="2.625" customWidth="1"/>
    <col min="5" max="5" width="34.625" customWidth="1"/>
    <col min="6" max="6" width="16.625" customWidth="1"/>
  </cols>
  <sheetData>
    <row r="1" spans="2:6" ht="25.5" x14ac:dyDescent="0.4">
      <c r="B1" s="2" t="s">
        <v>9</v>
      </c>
    </row>
    <row r="2" spans="2:6" x14ac:dyDescent="0.4">
      <c r="B2" s="3" t="s">
        <v>10</v>
      </c>
    </row>
    <row r="4" spans="2:6" x14ac:dyDescent="0.4">
      <c r="B4" s="1" t="s">
        <v>11</v>
      </c>
      <c r="C4" s="4"/>
    </row>
    <row r="5" spans="2:6" x14ac:dyDescent="0.4">
      <c r="B5" s="1" t="s">
        <v>12</v>
      </c>
      <c r="C5" s="5"/>
      <c r="E5" s="6" t="s">
        <v>15</v>
      </c>
      <c r="F5" s="7" t="str">
        <f>IF(C5="","",C5+2)</f>
        <v/>
      </c>
    </row>
    <row r="6" spans="2:6" x14ac:dyDescent="0.4">
      <c r="B6" s="1" t="s">
        <v>13</v>
      </c>
      <c r="C6" s="5"/>
      <c r="E6" s="6" t="s">
        <v>16</v>
      </c>
      <c r="F6" s="7" t="str">
        <f>IF(C5="","",C5+13)</f>
        <v/>
      </c>
    </row>
    <row r="7" spans="2:6" x14ac:dyDescent="0.4">
      <c r="B7" s="1" t="s">
        <v>0</v>
      </c>
      <c r="C7" s="4"/>
      <c r="E7" s="6" t="s">
        <v>17</v>
      </c>
      <c r="F7" s="7" t="str">
        <f>IF(C6="","",C6+13)</f>
        <v/>
      </c>
    </row>
    <row r="8" spans="2:6" x14ac:dyDescent="0.4">
      <c r="B8" s="1" t="s">
        <v>14</v>
      </c>
      <c r="C8" s="4"/>
      <c r="E8" s="6" t="s">
        <v>18</v>
      </c>
      <c r="F8" s="7" t="str">
        <f>IF(C6="","",C6+29)</f>
        <v/>
      </c>
    </row>
    <row r="9" spans="2:6" x14ac:dyDescent="0.4">
      <c r="E9" s="6" t="s">
        <v>19</v>
      </c>
      <c r="F9" s="7" t="str">
        <f>IF(OR(C6="",C7=""),"",C6+VLOOKUP(C7,マスタ!$A$2:$B$4,2,FALSE)-1)</f>
        <v/>
      </c>
    </row>
    <row r="11" spans="2:6" x14ac:dyDescent="0.4">
      <c r="E11" s="8" t="s">
        <v>20</v>
      </c>
    </row>
    <row r="12" spans="2:6" x14ac:dyDescent="0.4">
      <c r="E12" s="8" t="s">
        <v>21</v>
      </c>
    </row>
    <row r="13" spans="2:6" x14ac:dyDescent="0.4">
      <c r="E13" s="8" t="s">
        <v>22</v>
      </c>
    </row>
  </sheetData>
  <phoneticPr fontId="5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データ登録">
                <anchor moveWithCells="1" sizeWithCells="1">
                  <from>
                    <xdr:col>1</xdr:col>
                    <xdr:colOff>0</xdr:colOff>
                    <xdr:row>9</xdr:row>
                    <xdr:rowOff>47625</xdr:rowOff>
                  </from>
                  <to>
                    <xdr:col>4</xdr:col>
                    <xdr:colOff>714375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52D947-EB42-42AA-B606-4F1B3FAB84E2}">
          <x14:formula1>
            <xm:f>マスタ!$A$2:$A$4</xm:f>
          </x14:formula1>
          <xm:sqref>C7</xm:sqref>
        </x14:dataValidation>
        <x14:dataValidation type="list" allowBlank="1" showInputMessage="1" showErrorMessage="1" xr:uid="{FB79C0D2-D33A-4178-96C3-81ECED433088}">
          <x14:formula1>
            <xm:f>マスタ!$D$2:$D$50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2E15-B5F5-4817-9B18-675CE8EF1585}">
  <sheetPr codeName="Sheet2"/>
  <dimension ref="A1:L1"/>
  <sheetViews>
    <sheetView workbookViewId="0"/>
  </sheetViews>
  <sheetFormatPr defaultRowHeight="18.75" x14ac:dyDescent="0.4"/>
  <cols>
    <col min="1" max="1" width="5.625" customWidth="1"/>
    <col min="2" max="2" width="14.625" customWidth="1"/>
    <col min="3" max="6" width="12.625" customWidth="1"/>
    <col min="7" max="11" width="16.625" customWidth="1"/>
    <col min="12" max="12" width="18.625" customWidth="1"/>
  </cols>
  <sheetData>
    <row r="1" spans="1:12" ht="30" customHeight="1" x14ac:dyDescent="0.4">
      <c r="A1" s="9" t="s">
        <v>23</v>
      </c>
      <c r="B1" s="9" t="s">
        <v>11</v>
      </c>
      <c r="C1" s="9" t="s">
        <v>12</v>
      </c>
      <c r="D1" s="9" t="s">
        <v>13</v>
      </c>
      <c r="E1" s="9" t="s">
        <v>0</v>
      </c>
      <c r="F1" s="9" t="s">
        <v>14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</row>
  </sheetData>
  <phoneticPr fontId="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EB0C2-710D-4DBA-95C6-2260EADC26C2}">
  <sheetPr codeName="Sheet3"/>
  <dimension ref="A1:D4"/>
  <sheetViews>
    <sheetView workbookViewId="0"/>
  </sheetViews>
  <sheetFormatPr defaultRowHeight="18.75" x14ac:dyDescent="0.4"/>
  <cols>
    <col min="1" max="2" width="14.625" customWidth="1"/>
    <col min="4" max="4" width="24.625" customWidth="1"/>
  </cols>
  <sheetData>
    <row r="1" spans="1:4" x14ac:dyDescent="0.4">
      <c r="A1" s="1" t="s">
        <v>0</v>
      </c>
      <c r="B1" s="1" t="s">
        <v>1</v>
      </c>
      <c r="D1" s="1" t="s">
        <v>5</v>
      </c>
    </row>
    <row r="2" spans="1:4" x14ac:dyDescent="0.4">
      <c r="A2" t="s">
        <v>2</v>
      </c>
      <c r="B2">
        <v>150</v>
      </c>
      <c r="D2" t="s">
        <v>6</v>
      </c>
    </row>
    <row r="3" spans="1:4" x14ac:dyDescent="0.4">
      <c r="A3" t="s">
        <v>3</v>
      </c>
      <c r="B3">
        <v>180</v>
      </c>
      <c r="D3" t="s">
        <v>7</v>
      </c>
    </row>
    <row r="4" spans="1:4" x14ac:dyDescent="0.4">
      <c r="A4" t="s">
        <v>4</v>
      </c>
      <c r="B4">
        <v>90</v>
      </c>
      <c r="D4" t="s">
        <v>8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</vt:lpstr>
      <vt:lpstr>台帳</vt:lpstr>
      <vt:lpstr>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s21901</dc:creator>
  <cp:lastModifiedBy>s21901</cp:lastModifiedBy>
  <dcterms:created xsi:type="dcterms:W3CDTF">2026-05-30T03:55:32Z</dcterms:created>
  <dcterms:modified xsi:type="dcterms:W3CDTF">2026-05-30T03:55:35Z</dcterms:modified>
</cp:coreProperties>
</file>